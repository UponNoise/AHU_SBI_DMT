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600" activeTab="1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<sst xmlns="http://schemas.openxmlformats.org/spreadsheetml/2006/main" count="32" uniqueCount="32">
  <si>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输入 （填1或0，不填为无关项x）</t>
  </si>
  <si>
    <t>输出    (只填写为1的情况)</t>
  </si>
  <si>
    <t>OP5</t>
  </si>
  <si>
    <t>OP4</t>
  </si>
  <si>
    <t>OP3</t>
  </si>
  <si>
    <t>OP2</t>
  </si>
  <si>
    <t>OP1</t>
  </si>
  <si>
    <t>OP0</t>
  </si>
  <si>
    <t>F5</t>
  </si>
  <si>
    <t>F4</t>
  </si>
  <si>
    <t>F3</t>
  </si>
  <si>
    <t>F2</t>
  </si>
  <si>
    <t>F1</t>
  </si>
  <si>
    <t>F0</t>
  </si>
  <si>
    <t>Andi</t>
  </si>
  <si>
    <t>Jump</t>
  </si>
  <si>
    <t>add</t>
  </si>
  <si>
    <t>slt</t>
  </si>
  <si>
    <t>addi</t>
  </si>
  <si>
    <t>beq</t>
  </si>
  <si>
    <t>bne</t>
  </si>
  <si>
    <t>lw</t>
  </si>
  <si>
    <t>sw</t>
  </si>
  <si>
    <t>halt</t>
  </si>
  <si>
    <t>j</t>
  </si>
  <si>
    <t>andi</t>
  </si>
  <si>
    <t>and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</si>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</sst>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1" applyNumberFormat="0" applyAlignment="0" applyProtection="0">
      <alignment vertical="center"/>
    </xf>
    <xf numFmtId="0" fontId="21" fillId="13" borderId="22" applyNumberFormat="0" applyAlignment="0" applyProtection="0">
      <alignment vertical="center"/>
    </xf>
    <xf numFmtId="0" fontId="22" fillId="13" borderId="21" applyNumberFormat="0" applyAlignment="0" applyProtection="0">
      <alignment vertical="center"/>
    </xf>
    <xf numFmtId="0" fontId="23" fillId="14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6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3"/>
  <sheetViews>
    <sheetView topLeftCell="I1" workbookViewId="0">
      <pane ySplit="2" topLeftCell="A3" activePane="bottomLeft" state="frozen"/>
      <selection/>
      <selection pane="bottomLeft" activeCell="Q6" sqref="Q6"/>
    </sheetView>
  </sheetViews>
  <sheetFormatPr defaultColWidth="9" defaultRowHeight="14"/>
  <cols>
    <col min="1" max="4" width="8.625" style="17" customWidth="1"/>
    <col min="5" max="12" width="8.625" style="18" customWidth="1"/>
    <col min="13" max="13" width="10.5" style="17" customWidth="1"/>
    <col min="14" max="15" width="8.625" style="17" customWidth="1"/>
    <col min="16" max="16" width="8.625" style="18" customWidth="1"/>
    <col min="17" max="23" width="8.625" style="17" customWidth="1"/>
    <col min="24" max="24" width="8.625" style="18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9"/>
      <c r="M1" s="30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2" t="s">
        <v>14</v>
      </c>
      <c r="N2" s="33" t="s">
        <v>15</v>
      </c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17.25" spans="1:25">
      <c r="A3" s="22">
        <v>0</v>
      </c>
      <c r="B3" s="22">
        <v>0</v>
      </c>
      <c r="C3" s="22">
        <v>0</v>
      </c>
      <c r="D3" s="22">
        <v>0</v>
      </c>
      <c r="E3" s="22">
        <v>0</v>
      </c>
      <c r="F3" s="22">
        <v>0</v>
      </c>
      <c r="G3" s="22">
        <v>1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34">
        <v>0</v>
      </c>
      <c r="N3" s="24">
        <v>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t="s">
        <v>16</v>
      </c>
    </row>
    <row r="4" ht="16.5" spans="1:25">
      <c r="A4" s="23">
        <v>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0</v>
      </c>
      <c r="I4" s="23">
        <v>1</v>
      </c>
      <c r="J4" s="23">
        <v>0</v>
      </c>
      <c r="K4" s="23">
        <v>1</v>
      </c>
      <c r="L4" s="23">
        <v>0</v>
      </c>
      <c r="M4" s="35">
        <v>0</v>
      </c>
      <c r="N4" s="23">
        <v>0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t="s">
        <v>17</v>
      </c>
    </row>
    <row r="5" ht="16.5" spans="1:25">
      <c r="A5" s="22">
        <v>0</v>
      </c>
      <c r="B5" s="22">
        <v>0</v>
      </c>
      <c r="C5" s="22">
        <v>1</v>
      </c>
      <c r="D5" s="22">
        <v>0</v>
      </c>
      <c r="E5" s="22">
        <v>0</v>
      </c>
      <c r="F5" s="22">
        <v>0</v>
      </c>
      <c r="G5" s="22"/>
      <c r="H5" s="22"/>
      <c r="I5" s="22"/>
      <c r="J5" s="22"/>
      <c r="K5" s="22"/>
      <c r="L5" s="22"/>
      <c r="M5" s="34">
        <v>0</v>
      </c>
      <c r="N5" s="24">
        <v>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t="s">
        <v>18</v>
      </c>
    </row>
    <row r="6" ht="16.5" spans="1:25">
      <c r="A6" s="23">
        <v>0</v>
      </c>
      <c r="B6" s="23">
        <v>0</v>
      </c>
      <c r="C6" s="23">
        <v>0</v>
      </c>
      <c r="D6" s="23">
        <v>1</v>
      </c>
      <c r="E6" s="23">
        <v>0</v>
      </c>
      <c r="F6" s="23">
        <v>0</v>
      </c>
      <c r="G6" s="23"/>
      <c r="H6" s="23"/>
      <c r="I6" s="23"/>
      <c r="J6" s="23"/>
      <c r="K6" s="23"/>
      <c r="L6" s="23"/>
      <c r="M6" s="35">
        <v>0</v>
      </c>
      <c r="N6" s="23">
        <v>0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t="s">
        <v>19</v>
      </c>
    </row>
    <row r="7" ht="16.5" spans="1:25">
      <c r="A7" s="22">
        <v>0</v>
      </c>
      <c r="B7" s="22">
        <v>0</v>
      </c>
      <c r="C7" s="22">
        <v>0</v>
      </c>
      <c r="D7" s="22">
        <v>1</v>
      </c>
      <c r="E7" s="22">
        <v>0</v>
      </c>
      <c r="F7" s="22">
        <v>1</v>
      </c>
      <c r="G7" s="22"/>
      <c r="H7" s="22"/>
      <c r="I7" s="22"/>
      <c r="J7" s="22"/>
      <c r="K7" s="22"/>
      <c r="L7" s="22"/>
      <c r="M7" s="34">
        <v>0</v>
      </c>
      <c r="N7" s="24">
        <v>0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t="s">
        <v>20</v>
      </c>
    </row>
    <row r="8" ht="16.5" spans="1:25">
      <c r="A8" s="23">
        <v>1</v>
      </c>
      <c r="B8" s="23">
        <v>0</v>
      </c>
      <c r="C8" s="23">
        <v>0</v>
      </c>
      <c r="D8" s="23">
        <v>0</v>
      </c>
      <c r="E8" s="23">
        <v>1</v>
      </c>
      <c r="F8" s="23">
        <v>1</v>
      </c>
      <c r="G8" s="23"/>
      <c r="H8" s="23"/>
      <c r="I8" s="23"/>
      <c r="J8" s="23"/>
      <c r="K8" s="23"/>
      <c r="L8" s="23"/>
      <c r="M8" s="35">
        <v>0</v>
      </c>
      <c r="N8" s="23">
        <v>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t="s">
        <v>21</v>
      </c>
    </row>
    <row r="9" ht="16.5" customHeight="1" spans="1:25">
      <c r="A9" s="24">
        <v>1</v>
      </c>
      <c r="B9" s="24">
        <v>0</v>
      </c>
      <c r="C9" s="24">
        <v>1</v>
      </c>
      <c r="D9" s="24">
        <v>0</v>
      </c>
      <c r="E9" s="24">
        <v>1</v>
      </c>
      <c r="F9" s="24">
        <v>1</v>
      </c>
      <c r="G9" s="24"/>
      <c r="H9" s="24"/>
      <c r="I9" s="24"/>
      <c r="J9" s="24"/>
      <c r="K9" s="24"/>
      <c r="L9" s="24"/>
      <c r="M9" s="36">
        <v>0</v>
      </c>
      <c r="N9" s="25"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t="s">
        <v>22</v>
      </c>
    </row>
    <row r="10" ht="16.5" customHeight="1" spans="1:25">
      <c r="A10" s="23">
        <v>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1</v>
      </c>
      <c r="J10" s="23">
        <v>1</v>
      </c>
      <c r="K10" s="23">
        <v>0</v>
      </c>
      <c r="L10" s="23">
        <v>0</v>
      </c>
      <c r="M10" s="37">
        <v>0</v>
      </c>
      <c r="N10" s="26">
        <v>0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t="s">
        <v>23</v>
      </c>
    </row>
    <row r="11" ht="16.5" customHeight="1" spans="1:25">
      <c r="A11" s="24">
        <v>0</v>
      </c>
      <c r="B11" s="24">
        <v>0</v>
      </c>
      <c r="C11" s="24">
        <v>0</v>
      </c>
      <c r="D11" s="24">
        <v>0</v>
      </c>
      <c r="E11" s="24">
        <v>1</v>
      </c>
      <c r="F11" s="24">
        <v>0</v>
      </c>
      <c r="G11" s="24"/>
      <c r="H11" s="24"/>
      <c r="I11" s="24"/>
      <c r="J11" s="24"/>
      <c r="K11" s="24"/>
      <c r="L11" s="24"/>
      <c r="M11" s="34">
        <v>0</v>
      </c>
      <c r="N11" s="24">
        <v>1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t="s">
        <v>24</v>
      </c>
    </row>
    <row r="12" ht="16.5" customHeight="1" spans="1:25">
      <c r="A12" s="23">
        <v>0</v>
      </c>
      <c r="B12" s="23">
        <v>0</v>
      </c>
      <c r="C12" s="23">
        <v>1</v>
      </c>
      <c r="D12" s="23">
        <v>1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35">
        <v>1</v>
      </c>
      <c r="N12" s="23">
        <v>0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t="s">
        <v>25</v>
      </c>
    </row>
    <row r="13" ht="16.5" customHeight="1" spans="1:25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1</v>
      </c>
      <c r="H13" s="24">
        <v>0</v>
      </c>
      <c r="I13" s="24">
        <v>0</v>
      </c>
      <c r="J13" s="24">
        <v>1</v>
      </c>
      <c r="K13" s="24">
        <v>0</v>
      </c>
      <c r="L13" s="24">
        <v>0</v>
      </c>
      <c r="M13" s="34">
        <v>0</v>
      </c>
      <c r="N13" s="24">
        <v>0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t="s">
        <v>26</v>
      </c>
    </row>
    <row r="14" ht="16.5" customHeight="1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35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6.5" customHeight="1" spans="1:2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6.5" customHeight="1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6.5" customHeight="1" spans="1:2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36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ht="16.5" customHeight="1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7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ht="16.5" customHeight="1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3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6.5" customHeight="1" spans="1:2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.5" customHeight="1" spans="1:2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36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ht="16.5" customHeight="1" spans="1:2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7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ht="16.5" hidden="1" customHeight="1" spans="1:2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ht="16.5" hidden="1" customHeight="1" spans="1: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7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ht="16.5" hidden="1" customHeight="1" spans="1:2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16.5" hidden="1" customHeight="1" spans="1:2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7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ht="16.5" hidden="1" customHeight="1" spans="1:2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3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16.5" hidden="1" customHeight="1" spans="1:2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7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ht="16.5" hidden="1" customHeight="1" spans="1:2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6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ht="16.5" hidden="1" customHeight="1" spans="1:2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7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ht="16.5" hidden="1" customHeight="1" spans="1:2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6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ht="16.5" hidden="1" spans="5:12">
      <c r="E32" s="27"/>
      <c r="F32" s="27"/>
      <c r="G32" s="27"/>
      <c r="H32" s="27"/>
      <c r="I32" s="27"/>
      <c r="J32" s="27"/>
      <c r="K32" s="27"/>
      <c r="L32" s="27"/>
    </row>
    <row r="33" ht="28.5" customHeight="1" spans="1:24">
      <c r="A33" s="28" t="s">
        <v>27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</sheetData>
  <protectedRanges>
    <protectedRange sqref="E1:L1 E32:L1048576 I3:L7" name="区域1"/>
    <protectedRange sqref="E7:F7" name="区域1_1"/>
  </protectedRanges>
  <mergeCells count="4">
    <mergeCell ref="A1:L1"/>
    <mergeCell ref="M1:X1"/>
    <mergeCell ref="E32:L32"/>
    <mergeCell ref="A33:X33"/>
  </mergeCells>
  <conditionalFormatting sqref="G10:L10">
    <cfRule type="notContainsBlanks" dxfId="0" priority="4">
      <formula>LEN(TRIM(G10))&gt;0</formula>
    </cfRule>
    <cfRule type="cellIs" dxfId="1" priority="3" operator="equal">
      <formula>1</formula>
    </cfRule>
  </conditionalFormatting>
  <conditionalFormatting sqref="A3:L6 G7:L9 A11:L31">
    <cfRule type="notContainsBlanks" dxfId="0" priority="22">
      <formula>LEN(TRIM(A3))&gt;0</formula>
    </cfRule>
  </conditionalFormatting>
  <conditionalFormatting sqref="A3:L6 G7:L9 A11:X31">
    <cfRule type="cellIs" dxfId="1" priority="14" operator="equal">
      <formula>1</formula>
    </cfRule>
  </conditionalFormatting>
  <conditionalFormatting sqref="M3:X10">
    <cfRule type="cellIs" dxfId="1" priority="1" operator="equal">
      <formula>1</formula>
    </cfRule>
  </conditionalFormatting>
  <conditionalFormatting sqref="A7:F10">
    <cfRule type="notContainsBlanks" dxfId="0" priority="6">
      <formula>LEN(TRIM(A7))&gt;0</formula>
    </cfRule>
    <cfRule type="cellIs" dxfId="1" priority="5" operator="equal">
      <formula>1</formula>
    </cfRule>
  </conditionalFormatting>
  <conditionalFormatting sqref="M32:P32 M34:P1048576">
    <cfRule type="containsText" dxfId="2" priority="21" operator="between" text="1">
      <formula>NOT(ISERROR(SEARCH("1",M32)))</formula>
    </cfRule>
  </conditionalFormatting>
  <conditionalFormatting sqref="Q32:X32 Q34:X1048576">
    <cfRule type="containsText" dxfId="2" priority="18" operator="between" text="1">
      <formula>NOT(ISERROR(SEARCH("1",Q32)))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G10:L10 A11:L11 G7:G9 A7:F10 A3:G6 A1:L2 A12:L31 H3:L9"/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&#10;&#10;不需要使用的输出列可清空数据后隐藏！！" sqref="M1:X2 M19:X20 M3:X8 M11:X16"/>
    <dataValidation allowBlank="1" showInputMessage="1" showErrorMessage="1" promptTitle="输出" prompt="输出，只填为1的情况，为零或无关项x不填" sqref="M9:X10 M17:X18 M21:X31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abSelected="1" workbookViewId="0">
      <pane ySplit="1" topLeftCell="A2" activePane="bottomLeft" state="frozen"/>
      <selection/>
      <selection pane="bottomLeft" activeCell="O31" sqref="O31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OP5</v>
      </c>
      <c r="B1" s="2" t="str">
        <f>组合逻辑真值表!B2</f>
        <v>OP4</v>
      </c>
      <c r="C1" s="2" t="str">
        <f>组合逻辑真值表!C2</f>
        <v>OP3</v>
      </c>
      <c r="D1" s="2" t="str">
        <f>组合逻辑真值表!D2</f>
        <v>OP2</v>
      </c>
      <c r="E1" s="2" t="str">
        <f>组合逻辑真值表!E2</f>
        <v>OP1</v>
      </c>
      <c r="F1" s="2" t="str">
        <f>组合逻辑真值表!F2</f>
        <v>OP0</v>
      </c>
      <c r="G1" s="2" t="str">
        <f>组合逻辑真值表!G2</f>
        <v>F5</v>
      </c>
      <c r="H1" s="2" t="str">
        <f>组合逻辑真值表!H2</f>
        <v>F4</v>
      </c>
      <c r="I1" s="2" t="str">
        <f>组合逻辑真值表!I2</f>
        <v>F3</v>
      </c>
      <c r="J1" s="2" t="str">
        <f>组合逻辑真值表!J2</f>
        <v>F2</v>
      </c>
      <c r="K1" s="2" t="str">
        <f>组合逻辑真值表!K2</f>
        <v>F1</v>
      </c>
      <c r="L1" s="2" t="str">
        <f>组合逻辑真值表!L2</f>
        <v>F0</v>
      </c>
      <c r="M1" s="9" t="s">
        <v>28</v>
      </c>
      <c r="N1" s="10" t="str">
        <f>组合逻辑真值表!M2</f>
        <v>Andi</v>
      </c>
      <c r="O1" s="10" t="str">
        <f>组合逻辑真值表!N2</f>
        <v>Jump</v>
      </c>
      <c r="P1" s="10">
        <f>组合逻辑真值表!O2</f>
        <v>0</v>
      </c>
      <c r="Q1" s="10">
        <f>组合逻辑真值表!P2</f>
        <v>0</v>
      </c>
      <c r="R1" s="10">
        <f>组合逻辑真值表!Q2</f>
        <v>0</v>
      </c>
      <c r="S1" s="10">
        <f>组合逻辑真值表!R2</f>
        <v>0</v>
      </c>
      <c r="T1" s="10">
        <f>组合逻辑真值表!S2</f>
        <v>0</v>
      </c>
      <c r="U1" s="10">
        <f>组合逻辑真值表!T2</f>
        <v>0</v>
      </c>
      <c r="V1" s="10">
        <f>组合逻辑真值表!U2</f>
        <v>0</v>
      </c>
      <c r="W1" s="10">
        <f>组合逻辑真值表!V2</f>
        <v>0</v>
      </c>
      <c r="X1" s="10">
        <f>组合逻辑真值表!W2</f>
        <v>0</v>
      </c>
      <c r="Y1" s="10">
        <f>组合逻辑真值表!X2</f>
        <v>0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~OP5&amp;</v>
      </c>
      <c r="B2" s="3" t="str">
        <f>IF(组合逻辑真值表!B3&lt;&gt;"",IF(组合逻辑真值表!B3=1,组合逻辑真值表!B$2&amp;"&amp;",IF(组合逻辑真值表!B3=0,"~"&amp;组合逻辑真值表!B$2&amp;"&amp;","")),"")</f>
        <v>~OP4&amp;</v>
      </c>
      <c r="C2" s="3" t="str">
        <f>IF(组合逻辑真值表!C3&lt;&gt;"",IF(组合逻辑真值表!C3=1,组合逻辑真值表!C$2&amp;"&amp;",IF(组合逻辑真值表!C3=0,"~"&amp;组合逻辑真值表!C$2&amp;"&amp;","")),"")</f>
        <v>~OP3&amp;</v>
      </c>
      <c r="D2" s="3" t="str">
        <f>IF(组合逻辑真值表!D3&lt;&gt;"",IF(组合逻辑真值表!D3=1,组合逻辑真值表!D$2&amp;"&amp;",IF(组合逻辑真值表!D3=0,"~"&amp;组合逻辑真值表!D$2&amp;"&amp;","")),"")</f>
        <v>~OP2&amp;</v>
      </c>
      <c r="E2" s="3" t="str">
        <f>IF(组合逻辑真值表!E3&lt;&gt;"",IF(组合逻辑真值表!E3=1,组合逻辑真值表!E$2&amp;"&amp;",IF(组合逻辑真值表!E3=0,"~"&amp;组合逻辑真值表!E$2&amp;"&amp;","")),"")</f>
        <v>~OP1&amp;</v>
      </c>
      <c r="F2" s="3" t="str">
        <f>IF(组合逻辑真值表!F3&lt;&gt;"",IF(组合逻辑真值表!F3=1,组合逻辑真值表!F$2&amp;"&amp;",IF(组合逻辑真值表!F3=0,"~"&amp;组合逻辑真值表!F$2&amp;"&amp;","")),"")</f>
        <v>~OP0&amp;</v>
      </c>
      <c r="G2" s="3" t="str">
        <f>IF(组合逻辑真值表!G3&lt;&gt;"",IF(组合逻辑真值表!G3=1,组合逻辑真值表!G$2&amp;"&amp;",IF(组合逻辑真值表!G3=0,"~"&amp;组合逻辑真值表!G$2&amp;"&amp;","")),"")</f>
        <v>F5&amp;</v>
      </c>
      <c r="H2" s="3" t="str">
        <f>IF(组合逻辑真值表!H3&lt;&gt;"",IF(组合逻辑真值表!H3=1,组合逻辑真值表!H$2&amp;"&amp;",IF(组合逻辑真值表!H3=0,"~"&amp;组合逻辑真值表!H$2&amp;"&amp;","")),"")</f>
        <v>~F4&amp;</v>
      </c>
      <c r="I2" s="3" t="str">
        <f>IF(组合逻辑真值表!I3&lt;&gt;"",IF(组合逻辑真值表!I3=1,组合逻辑真值表!I$2&amp;"&amp;",IF(组合逻辑真值表!I3=0,"~"&amp;组合逻辑真值表!I$2&amp;"&amp;","")),"")</f>
        <v>~F3&amp;</v>
      </c>
      <c r="J2" s="3" t="str">
        <f>IF(组合逻辑真值表!J3&lt;&gt;"",IF(组合逻辑真值表!J3=1,组合逻辑真值表!J$2&amp;"&amp;",IF(组合逻辑真值表!J3=0,"~"&amp;组合逻辑真值表!J$2&amp;"&amp;","")),"")</f>
        <v>~F2&amp;</v>
      </c>
      <c r="K2" s="3" t="str">
        <f>IF(组合逻辑真值表!K3&lt;&gt;"",IF(组合逻辑真值表!K3=1,组合逻辑真值表!K$2&amp;"&amp;",IF(组合逻辑真值表!K3=0,"~"&amp;组合逻辑真值表!K$2&amp;"&amp;","")),"")</f>
        <v>~F1&amp;</v>
      </c>
      <c r="L2" s="3" t="str">
        <f>IF(组合逻辑真值表!L3&lt;&gt;"",IF(组合逻辑真值表!L3=1,组合逻辑真值表!L$2&amp;"&amp;",IF(组合逻辑真值表!L3=0,"~"&amp;组合逻辑真值表!L$2&amp;"&amp;","")),"")</f>
        <v>~F0&amp;</v>
      </c>
      <c r="M2" s="11" t="str">
        <f>IF(LEN(CONCATENATE(A2,B2,C2,D2,E2,F2,G2,H2,I2,J2,K2,L2))=0,"",LEFT(CONCATENATE(A2,B2,C2,D2,E2,F2,G2,H2,I2,J2,K2,L2),LEN(CONCATENATE(A2,B2,C2,D2,E2,F2,G2,H2,I2,J2,K2,L2))-1))</f>
        <v>~OP5&amp;~OP4&amp;~OP3&amp;~OP2&amp;~OP1&amp;~OP0&amp;F5&amp;~F4&amp;~F3&amp;~F2&amp;~F1&amp;~F0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/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~OP5&amp;</v>
      </c>
      <c r="B3" s="3" t="str">
        <f>IF(组合逻辑真值表!B4&lt;&gt;"",IF(组合逻辑真值表!B4=1,组合逻辑真值表!B$2&amp;"&amp;",IF(组合逻辑真值表!B4=0,"~"&amp;组合逻辑真值表!B$2&amp;"&amp;","")),"")</f>
        <v>~OP4&amp;</v>
      </c>
      <c r="C3" s="3" t="str">
        <f>IF(组合逻辑真值表!C4&lt;&gt;"",IF(组合逻辑真值表!C4=1,组合逻辑真值表!C$2&amp;"&amp;",IF(组合逻辑真值表!C4=0,"~"&amp;组合逻辑真值表!C$2&amp;"&amp;","")),"")</f>
        <v>~OP3&amp;</v>
      </c>
      <c r="D3" s="3" t="str">
        <f>IF(组合逻辑真值表!D4&lt;&gt;"",IF(组合逻辑真值表!D4=1,组合逻辑真值表!D$2&amp;"&amp;",IF(组合逻辑真值表!D4=0,"~"&amp;组合逻辑真值表!D$2&amp;"&amp;","")),"")</f>
        <v>~OP2&amp;</v>
      </c>
      <c r="E3" s="3" t="str">
        <f>IF(组合逻辑真值表!E4&lt;&gt;"",IF(组合逻辑真值表!E4=1,组合逻辑真值表!E$2&amp;"&amp;",IF(组合逻辑真值表!E4=0,"~"&amp;组合逻辑真值表!E$2&amp;"&amp;","")),"")</f>
        <v>~OP1&amp;</v>
      </c>
      <c r="F3" s="3" t="str">
        <f>IF(组合逻辑真值表!F4&lt;&gt;"",IF(组合逻辑真值表!F4=1,组合逻辑真值表!F$2&amp;"&amp;",IF(组合逻辑真值表!F4=0,"~"&amp;组合逻辑真值表!F$2&amp;"&amp;","")),"")</f>
        <v>~OP0&amp;</v>
      </c>
      <c r="G3" s="3" t="str">
        <f>IF(组合逻辑真值表!G4&lt;&gt;"",IF(组合逻辑真值表!G4=1,组合逻辑真值表!G$2&amp;"&amp;",IF(组合逻辑真值表!G4=0,"~"&amp;组合逻辑真值表!G$2&amp;"&amp;","")),"")</f>
        <v>F5&amp;</v>
      </c>
      <c r="H3" s="3" t="str">
        <f>IF(组合逻辑真值表!H4&lt;&gt;"",IF(组合逻辑真值表!H4=1,组合逻辑真值表!H$2&amp;"&amp;",IF(组合逻辑真值表!H4=0,"~"&amp;组合逻辑真值表!H$2&amp;"&amp;","")),"")</f>
        <v>~F4&amp;</v>
      </c>
      <c r="I3" s="3" t="str">
        <f>IF(组合逻辑真值表!I4&lt;&gt;"",IF(组合逻辑真值表!I4=1,组合逻辑真值表!I$2&amp;"&amp;",IF(组合逻辑真值表!I4=0,"~"&amp;组合逻辑真值表!I$2&amp;"&amp;","")),"")</f>
        <v>F3&amp;</v>
      </c>
      <c r="J3" s="3" t="str">
        <f>IF(组合逻辑真值表!J4&lt;&gt;"",IF(组合逻辑真值表!J4=1,组合逻辑真值表!J$2&amp;"&amp;",IF(组合逻辑真值表!J4=0,"~"&amp;组合逻辑真值表!J$2&amp;"&amp;","")),"")</f>
        <v>~F2&amp;</v>
      </c>
      <c r="K3" s="3" t="str">
        <f>IF(组合逻辑真值表!K4&lt;&gt;"",IF(组合逻辑真值表!K4=1,组合逻辑真值表!K$2&amp;"&amp;",IF(组合逻辑真值表!K4=0,"~"&amp;组合逻辑真值表!K$2&amp;"&amp;","")),"")</f>
        <v>F1&amp;</v>
      </c>
      <c r="L3" s="3" t="str">
        <f>IF(组合逻辑真值表!L4&lt;&gt;"",IF(组合逻辑真值表!L4=1,组合逻辑真值表!L$2&amp;"&amp;",IF(组合逻辑真值表!L4=0,"~"&amp;组合逻辑真值表!L$2&amp;"&amp;","")),"")</f>
        <v>~F0&amp;</v>
      </c>
      <c r="M3" s="11" t="str">
        <f t="shared" ref="M3:M19" si="0">IF(LEN(CONCATENATE(A3,B3,C3,D3,E3,F3,G3,H3,I3,J3,K3,L3))=0,"",LEFT(CONCATENATE(A3,B3,C3,D3,E3,F3,G3,H3,I3,J3,K3,L3),LEN(CONCATENATE(A3,B3,C3,D3,E3,F3,G3,H3,I3,J3,K3,L3))-1))</f>
        <v>~OP5&amp;~OP4&amp;~OP3&amp;~OP2&amp;~OP1&amp;~OP0&amp;F5&amp;~F4&amp;F3&amp;~F2&amp;F1&amp;~F0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/>
      </c>
      <c r="Q3" s="12" t="str">
        <f>IF(组合逻辑真值表!P4=1,$M3&amp;"+","")</f>
        <v/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~OP5&amp;</v>
      </c>
      <c r="B4" s="3" t="str">
        <f>IF(组合逻辑真值表!B5&lt;&gt;"",IF(组合逻辑真值表!B5=1,组合逻辑真值表!B$2&amp;"&amp;",IF(组合逻辑真值表!B5=0,"~"&amp;组合逻辑真值表!B$2&amp;"&amp;","")),"")</f>
        <v>~OP4&amp;</v>
      </c>
      <c r="C4" s="3" t="str">
        <f>IF(组合逻辑真值表!C5&lt;&gt;"",IF(组合逻辑真值表!C5=1,组合逻辑真值表!C$2&amp;"&amp;",IF(组合逻辑真值表!C5=0,"~"&amp;组合逻辑真值表!C$2&amp;"&amp;","")),"")</f>
        <v>OP3&amp;</v>
      </c>
      <c r="D4" s="3" t="str">
        <f>IF(组合逻辑真值表!D5&lt;&gt;"",IF(组合逻辑真值表!D5=1,组合逻辑真值表!D$2&amp;"&amp;",IF(组合逻辑真值表!D5=0,"~"&amp;组合逻辑真值表!D$2&amp;"&amp;","")),"")</f>
        <v>~OP2&amp;</v>
      </c>
      <c r="E4" s="3" t="str">
        <f>IF(组合逻辑真值表!E5&lt;&gt;"",IF(组合逻辑真值表!E5=1,组合逻辑真值表!E$2&amp;"&amp;",IF(组合逻辑真值表!E5=0,"~"&amp;组合逻辑真值表!E$2&amp;"&amp;","")),"")</f>
        <v>~OP1&amp;</v>
      </c>
      <c r="F4" s="3" t="str">
        <f>IF(组合逻辑真值表!F5&lt;&gt;"",IF(组合逻辑真值表!F5=1,组合逻辑真值表!F$2&amp;"&amp;",IF(组合逻辑真值表!F5=0,"~"&amp;组合逻辑真值表!F$2&amp;"&amp;","")),"")</f>
        <v>~OP0&amp;</v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~OP5&amp;~OP4&amp;OP3&amp;~OP2&amp;~OP1&amp;~OP0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/>
      </c>
      <c r="Q4" s="12" t="str">
        <f>IF(组合逻辑真值表!P5=1,$M4&amp;"+","")</f>
        <v/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~OP5&amp;</v>
      </c>
      <c r="B5" s="3" t="str">
        <f>IF(组合逻辑真值表!B6&lt;&gt;"",IF(组合逻辑真值表!B6=1,组合逻辑真值表!B$2&amp;"&amp;",IF(组合逻辑真值表!B6=0,"~"&amp;组合逻辑真值表!B$2&amp;"&amp;","")),"")</f>
        <v>~OP4&amp;</v>
      </c>
      <c r="C5" s="3" t="str">
        <f>IF(组合逻辑真值表!C6&lt;&gt;"",IF(组合逻辑真值表!C6=1,组合逻辑真值表!C$2&amp;"&amp;",IF(组合逻辑真值表!C6=0,"~"&amp;组合逻辑真值表!C$2&amp;"&amp;","")),"")</f>
        <v>~OP3&amp;</v>
      </c>
      <c r="D5" s="3" t="str">
        <f>IF(组合逻辑真值表!D6&lt;&gt;"",IF(组合逻辑真值表!D6=1,组合逻辑真值表!D$2&amp;"&amp;",IF(组合逻辑真值表!D6=0,"~"&amp;组合逻辑真值表!D$2&amp;"&amp;","")),"")</f>
        <v>OP2&amp;</v>
      </c>
      <c r="E5" s="3" t="str">
        <f>IF(组合逻辑真值表!E6&lt;&gt;"",IF(组合逻辑真值表!E6=1,组合逻辑真值表!E$2&amp;"&amp;",IF(组合逻辑真值表!E6=0,"~"&amp;组合逻辑真值表!E$2&amp;"&amp;","")),"")</f>
        <v>~OP1&amp;</v>
      </c>
      <c r="F5" s="3" t="str">
        <f>IF(组合逻辑真值表!F6&lt;&gt;"",IF(组合逻辑真值表!F6=1,组合逻辑真值表!F$2&amp;"&amp;",IF(组合逻辑真值表!F6=0,"~"&amp;组合逻辑真值表!F$2&amp;"&amp;","")),"")</f>
        <v>~OP0&amp;</v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~OP5&amp;~OP4&amp;~OP3&amp;OP2&amp;~OP1&amp;~OP0</v>
      </c>
      <c r="N5" s="12" t="str">
        <f>IF(组合逻辑真值表!M6=1,$M5&amp;"+","")</f>
        <v/>
      </c>
      <c r="O5" s="12" t="str">
        <f>IF(组合逻辑真值表!N6=1,$M5&amp;"+","")</f>
        <v/>
      </c>
      <c r="P5" s="12" t="str">
        <f>IF(组合逻辑真值表!O6=1,$M5&amp;"+","")</f>
        <v/>
      </c>
      <c r="Q5" s="12" t="str">
        <f>IF(组合逻辑真值表!P6=1,$M5&amp;"+","")</f>
        <v/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~OP5&amp;</v>
      </c>
      <c r="B6" s="3" t="str">
        <f>IF(组合逻辑真值表!B7&lt;&gt;"",IF(组合逻辑真值表!B7=1,组合逻辑真值表!B$2&amp;"&amp;",IF(组合逻辑真值表!B7=0,"~"&amp;组合逻辑真值表!B$2&amp;"&amp;","")),"")</f>
        <v>~OP4&amp;</v>
      </c>
      <c r="C6" s="3" t="str">
        <f>IF(组合逻辑真值表!C7&lt;&gt;"",IF(组合逻辑真值表!C7=1,组合逻辑真值表!C$2&amp;"&amp;",IF(组合逻辑真值表!C7=0,"~"&amp;组合逻辑真值表!C$2&amp;"&amp;","")),"")</f>
        <v>~OP3&amp;</v>
      </c>
      <c r="D6" s="3" t="str">
        <f>IF(组合逻辑真值表!D7&lt;&gt;"",IF(组合逻辑真值表!D7=1,组合逻辑真值表!D$2&amp;"&amp;",IF(组合逻辑真值表!D7=0,"~"&amp;组合逻辑真值表!D$2&amp;"&amp;","")),"")</f>
        <v>OP2&amp;</v>
      </c>
      <c r="E6" s="3" t="str">
        <f>IF(组合逻辑真值表!E7&lt;&gt;"",IF(组合逻辑真值表!E7=1,组合逻辑真值表!E$2&amp;"&amp;",IF(组合逻辑真值表!E7=0,"~"&amp;组合逻辑真值表!E$2&amp;"&amp;","")),"")</f>
        <v>~OP1&amp;</v>
      </c>
      <c r="F6" s="3" t="str">
        <f>IF(组合逻辑真值表!F7&lt;&gt;"",IF(组合逻辑真值表!F7=1,组合逻辑真值表!F$2&amp;"&amp;",IF(组合逻辑真值表!F7=0,"~"&amp;组合逻辑真值表!F$2&amp;"&amp;","")),"")</f>
        <v>OP0&amp;</v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~OP5&amp;~OP4&amp;~OP3&amp;OP2&amp;~OP1&amp;OP0</v>
      </c>
      <c r="N6" s="12" t="str">
        <f>IF(组合逻辑真值表!M7=1,$M6&amp;"+","")</f>
        <v/>
      </c>
      <c r="O6" s="12" t="str">
        <f>IF(组合逻辑真值表!N7=1,$M6&amp;"+","")</f>
        <v/>
      </c>
      <c r="P6" s="12" t="str">
        <f>IF(组合逻辑真值表!O7=1,$M6&amp;"+","")</f>
        <v/>
      </c>
      <c r="Q6" s="12" t="str">
        <f>IF(组合逻辑真值表!P7=1,$M6&amp;"+","")</f>
        <v/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OP5&amp;</v>
      </c>
      <c r="B7" s="3" t="str">
        <f>IF(组合逻辑真值表!B8&lt;&gt;"",IF(组合逻辑真值表!B8=1,组合逻辑真值表!B$2&amp;"&amp;",IF(组合逻辑真值表!B8=0,"~"&amp;组合逻辑真值表!B$2&amp;"&amp;","")),"")</f>
        <v>~OP4&amp;</v>
      </c>
      <c r="C7" s="3" t="str">
        <f>IF(组合逻辑真值表!C8&lt;&gt;"",IF(组合逻辑真值表!C8=1,组合逻辑真值表!C$2&amp;"&amp;",IF(组合逻辑真值表!C8=0,"~"&amp;组合逻辑真值表!C$2&amp;"&amp;","")),"")</f>
        <v>~OP3&amp;</v>
      </c>
      <c r="D7" s="3" t="str">
        <f>IF(组合逻辑真值表!D8&lt;&gt;"",IF(组合逻辑真值表!D8=1,组合逻辑真值表!D$2&amp;"&amp;",IF(组合逻辑真值表!D8=0,"~"&amp;组合逻辑真值表!D$2&amp;"&amp;","")),"")</f>
        <v>~OP2&amp;</v>
      </c>
      <c r="E7" s="3" t="str">
        <f>IF(组合逻辑真值表!E8&lt;&gt;"",IF(组合逻辑真值表!E8=1,组合逻辑真值表!E$2&amp;"&amp;",IF(组合逻辑真值表!E8=0,"~"&amp;组合逻辑真值表!E$2&amp;"&amp;","")),"")</f>
        <v>OP1&amp;</v>
      </c>
      <c r="F7" s="3" t="str">
        <f>IF(组合逻辑真值表!F8&lt;&gt;"",IF(组合逻辑真值表!F8=1,组合逻辑真值表!F$2&amp;"&amp;",IF(组合逻辑真值表!F8=0,"~"&amp;组合逻辑真值表!F$2&amp;"&amp;","")),"")</f>
        <v>OP0&amp;</v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OP5&amp;~OP4&amp;~OP3&amp;~OP2&amp;OP1&amp;OP0</v>
      </c>
      <c r="N7" s="12" t="str">
        <f>IF(组合逻辑真值表!M8=1,$M7&amp;"+","")</f>
        <v/>
      </c>
      <c r="O7" s="12" t="str">
        <f>IF(组合逻辑真值表!N8=1,$M7&amp;"+","")</f>
        <v/>
      </c>
      <c r="P7" s="12" t="str">
        <f>IF(组合逻辑真值表!O8=1,$M7&amp;"+","")</f>
        <v/>
      </c>
      <c r="Q7" s="12" t="str">
        <f>IF(组合逻辑真值表!P8=1,$M7&amp;"+","")</f>
        <v/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OP5&amp;</v>
      </c>
      <c r="B8" s="3" t="str">
        <f>IF(组合逻辑真值表!B9&lt;&gt;"",IF(组合逻辑真值表!B9=1,组合逻辑真值表!B$2&amp;"&amp;",IF(组合逻辑真值表!B9=0,"~"&amp;组合逻辑真值表!B$2&amp;"&amp;","")),"")</f>
        <v>~OP4&amp;</v>
      </c>
      <c r="C8" s="3" t="str">
        <f>IF(组合逻辑真值表!C9&lt;&gt;"",IF(组合逻辑真值表!C9=1,组合逻辑真值表!C$2&amp;"&amp;",IF(组合逻辑真值表!C9=0,"~"&amp;组合逻辑真值表!C$2&amp;"&amp;","")),"")</f>
        <v>OP3&amp;</v>
      </c>
      <c r="D8" s="3" t="str">
        <f>IF(组合逻辑真值表!D9&lt;&gt;"",IF(组合逻辑真值表!D9=1,组合逻辑真值表!D$2&amp;"&amp;",IF(组合逻辑真值表!D9=0,"~"&amp;组合逻辑真值表!D$2&amp;"&amp;","")),"")</f>
        <v>~OP2&amp;</v>
      </c>
      <c r="E8" s="3" t="str">
        <f>IF(组合逻辑真值表!E9&lt;&gt;"",IF(组合逻辑真值表!E9=1,组合逻辑真值表!E$2&amp;"&amp;",IF(组合逻辑真值表!E9=0,"~"&amp;组合逻辑真值表!E$2&amp;"&amp;","")),"")</f>
        <v>OP1&amp;</v>
      </c>
      <c r="F8" s="3" t="str">
        <f>IF(组合逻辑真值表!F9&lt;&gt;"",IF(组合逻辑真值表!F9=1,组合逻辑真值表!F$2&amp;"&amp;",IF(组合逻辑真值表!F9=0,"~"&amp;组合逻辑真值表!F$2&amp;"&amp;","")),"")</f>
        <v>OP0&amp;</v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OP5&amp;~OP4&amp;OP3&amp;~OP2&amp;OP1&amp;OP0</v>
      </c>
      <c r="N8" s="12" t="str">
        <f>IF(组合逻辑真值表!M9=1,$M8&amp;"+","")</f>
        <v/>
      </c>
      <c r="O8" s="12" t="str">
        <f>IF(组合逻辑真值表!N9=1,$M8&amp;"+","")</f>
        <v/>
      </c>
      <c r="P8" s="12" t="str">
        <f>IF(组合逻辑真值表!O9=1,$M8&amp;"+","")</f>
        <v/>
      </c>
      <c r="Q8" s="12" t="str">
        <f>IF(组合逻辑真值表!P9=1,$M8&amp;"+","")</f>
        <v/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~OP5&amp;</v>
      </c>
      <c r="B9" s="3" t="str">
        <f>IF(组合逻辑真值表!B10&lt;&gt;"",IF(组合逻辑真值表!B10=1,组合逻辑真值表!B$2&amp;"&amp;",IF(组合逻辑真值表!B10=0,"~"&amp;组合逻辑真值表!B$2&amp;"&amp;","")),"")</f>
        <v>~OP4&amp;</v>
      </c>
      <c r="C9" s="3" t="str">
        <f>IF(组合逻辑真值表!C10&lt;&gt;"",IF(组合逻辑真值表!C10=1,组合逻辑真值表!C$2&amp;"&amp;",IF(组合逻辑真值表!C10=0,"~"&amp;组合逻辑真值表!C$2&amp;"&amp;","")),"")</f>
        <v>~OP3&amp;</v>
      </c>
      <c r="D9" s="3" t="str">
        <f>IF(组合逻辑真值表!D10&lt;&gt;"",IF(组合逻辑真值表!D10=1,组合逻辑真值表!D$2&amp;"&amp;",IF(组合逻辑真值表!D10=0,"~"&amp;组合逻辑真值表!D$2&amp;"&amp;","")),"")</f>
        <v>~OP2&amp;</v>
      </c>
      <c r="E9" s="3" t="str">
        <f>IF(组合逻辑真值表!E10&lt;&gt;"",IF(组合逻辑真值表!E10=1,组合逻辑真值表!E$2&amp;"&amp;",IF(组合逻辑真值表!E10=0,"~"&amp;组合逻辑真值表!E$2&amp;"&amp;","")),"")</f>
        <v>~OP1&amp;</v>
      </c>
      <c r="F9" s="3" t="str">
        <f>IF(组合逻辑真值表!F10&lt;&gt;"",IF(组合逻辑真值表!F10=1,组合逻辑真值表!F$2&amp;"&amp;",IF(组合逻辑真值表!F10=0,"~"&amp;组合逻辑真值表!F$2&amp;"&amp;","")),"")</f>
        <v>~OP0&amp;</v>
      </c>
      <c r="G9" s="3" t="str">
        <f>IF(组合逻辑真值表!G10&lt;&gt;"",IF(组合逻辑真值表!G10=1,组合逻辑真值表!G$2&amp;"&amp;",IF(组合逻辑真值表!G10=0,"~"&amp;组合逻辑真值表!G$2&amp;"&amp;","")),"")</f>
        <v>~F5&amp;</v>
      </c>
      <c r="H9" s="3" t="str">
        <f>IF(组合逻辑真值表!H10&lt;&gt;"",IF(组合逻辑真值表!H10=1,组合逻辑真值表!H$2&amp;"&amp;",IF(组合逻辑真值表!H10=0,"~"&amp;组合逻辑真值表!H$2&amp;"&amp;","")),"")</f>
        <v>~F4&amp;</v>
      </c>
      <c r="I9" s="3" t="str">
        <f>IF(组合逻辑真值表!I10&lt;&gt;"",IF(组合逻辑真值表!I10=1,组合逻辑真值表!I$2&amp;"&amp;",IF(组合逻辑真值表!I10=0,"~"&amp;组合逻辑真值表!I$2&amp;"&amp;","")),"")</f>
        <v>F3&amp;</v>
      </c>
      <c r="J9" s="3" t="str">
        <f>IF(组合逻辑真值表!J10&lt;&gt;"",IF(组合逻辑真值表!J10=1,组合逻辑真值表!J$2&amp;"&amp;",IF(组合逻辑真值表!J10=0,"~"&amp;组合逻辑真值表!J$2&amp;"&amp;","")),"")</f>
        <v>F2&amp;</v>
      </c>
      <c r="K9" s="3" t="str">
        <f>IF(组合逻辑真值表!K10&lt;&gt;"",IF(组合逻辑真值表!K10=1,组合逻辑真值表!K$2&amp;"&amp;",IF(组合逻辑真值表!K10=0,"~"&amp;组合逻辑真值表!K$2&amp;"&amp;","")),"")</f>
        <v>~F1&amp;</v>
      </c>
      <c r="L9" s="3" t="str">
        <f>IF(组合逻辑真值表!L10&lt;&gt;"",IF(组合逻辑真值表!L10=1,组合逻辑真值表!L$2&amp;"&amp;",IF(组合逻辑真值表!L10=0,"~"&amp;组合逻辑真值表!L$2&amp;"&amp;","")),"")</f>
        <v>~F0&amp;</v>
      </c>
      <c r="M9" s="11" t="str">
        <f t="shared" si="0"/>
        <v>~OP5&amp;~OP4&amp;~OP3&amp;~OP2&amp;~OP1&amp;~OP0&amp;~F5&amp;~F4&amp;F3&amp;F2&amp;~F1&amp;~F0</v>
      </c>
      <c r="N9" s="12" t="str">
        <f>IF(组合逻辑真值表!M10=1,$M9&amp;"+","")</f>
        <v/>
      </c>
      <c r="O9" s="12" t="str">
        <f>IF(组合逻辑真值表!N10=1,$M9&amp;"+","")</f>
        <v/>
      </c>
      <c r="P9" s="12" t="str">
        <f>IF(组合逻辑真值表!O10=1,$M9&amp;"+","")</f>
        <v/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>~OP5&amp;</v>
      </c>
      <c r="B10" s="3" t="str">
        <f>IF(组合逻辑真值表!B11&lt;&gt;"",IF(组合逻辑真值表!B11=1,组合逻辑真值表!B$2&amp;"&amp;",IF(组合逻辑真值表!B11=0,"~"&amp;组合逻辑真值表!B$2&amp;"&amp;","")),"")</f>
        <v>~OP4&amp;</v>
      </c>
      <c r="C10" s="3" t="str">
        <f>IF(组合逻辑真值表!C11&lt;&gt;"",IF(组合逻辑真值表!C11=1,组合逻辑真值表!C$2&amp;"&amp;",IF(组合逻辑真值表!C11=0,"~"&amp;组合逻辑真值表!C$2&amp;"&amp;","")),"")</f>
        <v>~OP3&amp;</v>
      </c>
      <c r="D10" s="3" t="str">
        <f>IF(组合逻辑真值表!D11&lt;&gt;"",IF(组合逻辑真值表!D11=1,组合逻辑真值表!D$2&amp;"&amp;",IF(组合逻辑真值表!D11=0,"~"&amp;组合逻辑真值表!D$2&amp;"&amp;","")),"")</f>
        <v>~OP2&amp;</v>
      </c>
      <c r="E10" s="3" t="str">
        <f>IF(组合逻辑真值表!E11&lt;&gt;"",IF(组合逻辑真值表!E11=1,组合逻辑真值表!E$2&amp;"&amp;",IF(组合逻辑真值表!E11=0,"~"&amp;组合逻辑真值表!E$2&amp;"&amp;","")),"")</f>
        <v>OP1&amp;</v>
      </c>
      <c r="F10" s="3" t="str">
        <f>IF(组合逻辑真值表!F11&lt;&gt;"",IF(组合逻辑真值表!F11=1,组合逻辑真值表!F$2&amp;"&amp;",IF(组合逻辑真值表!F11=0,"~"&amp;组合逻辑真值表!F$2&amp;"&amp;","")),"")</f>
        <v>~OP0&amp;</v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>~OP5&amp;~OP4&amp;~OP3&amp;~OP2&amp;OP1&amp;~OP0</v>
      </c>
      <c r="N10" s="12" t="str">
        <f>IF(组合逻辑真值表!M11=1,$M10&amp;"+","")</f>
        <v/>
      </c>
      <c r="O10" s="12" t="str">
        <f>IF(组合逻辑真值表!N11=1,$M10&amp;"+","")</f>
        <v>~OP5&amp;~OP4&amp;~OP3&amp;~OP2&amp;OP1&amp;~OP0+</v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>~OP5&amp;</v>
      </c>
      <c r="B11" s="3" t="str">
        <f>IF(组合逻辑真值表!B12&lt;&gt;"",IF(组合逻辑真值表!B12=1,组合逻辑真值表!B$2&amp;"&amp;",IF(组合逻辑真值表!B12=0,"~"&amp;组合逻辑真值表!B$2&amp;"&amp;","")),"")</f>
        <v>~OP4&amp;</v>
      </c>
      <c r="C11" s="3" t="str">
        <f>IF(组合逻辑真值表!C12&lt;&gt;"",IF(组合逻辑真值表!C12=1,组合逻辑真值表!C$2&amp;"&amp;",IF(组合逻辑真值表!C12=0,"~"&amp;组合逻辑真值表!C$2&amp;"&amp;","")),"")</f>
        <v>OP3&amp;</v>
      </c>
      <c r="D11" s="3" t="str">
        <f>IF(组合逻辑真值表!D12&lt;&gt;"",IF(组合逻辑真值表!D12=1,组合逻辑真值表!D$2&amp;"&amp;",IF(组合逻辑真值表!D12=0,"~"&amp;组合逻辑真值表!D$2&amp;"&amp;","")),"")</f>
        <v>OP2&amp;</v>
      </c>
      <c r="E11" s="3" t="str">
        <f>IF(组合逻辑真值表!E12&lt;&gt;"",IF(组合逻辑真值表!E12=1,组合逻辑真值表!E$2&amp;"&amp;",IF(组合逻辑真值表!E12=0,"~"&amp;组合逻辑真值表!E$2&amp;"&amp;","")),"")</f>
        <v>~OP1&amp;</v>
      </c>
      <c r="F11" s="3" t="str">
        <f>IF(组合逻辑真值表!F12&lt;&gt;"",IF(组合逻辑真值表!F12=1,组合逻辑真值表!F$2&amp;"&amp;",IF(组合逻辑真值表!F12=0,"~"&amp;组合逻辑真值表!F$2&amp;"&amp;","")),"")</f>
        <v>~OP0&amp;</v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~OP5&amp;~OP4&amp;OP3&amp;OP2&amp;~OP1&amp;~OP0</v>
      </c>
      <c r="N11" s="12" t="str">
        <f>IF(组合逻辑真值表!M12=1,$M11&amp;"+","")</f>
        <v>~OP5&amp;~OP4&amp;OP3&amp;OP2&amp;~OP1&amp;~OP0+</v>
      </c>
      <c r="O11" s="12" t="str">
        <f>IF(组合逻辑真值表!N12=1,$M11&amp;"+","")</f>
        <v/>
      </c>
      <c r="P11" s="12" t="str">
        <f>IF(组合逻辑真值表!O12=1,$M11&amp;"+","")</f>
        <v/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>~OP5&amp;</v>
      </c>
      <c r="B12" s="3" t="str">
        <f>IF(组合逻辑真值表!B13&lt;&gt;"",IF(组合逻辑真值表!B13=1,组合逻辑真值表!B$2&amp;"&amp;",IF(组合逻辑真值表!B13=0,"~"&amp;组合逻辑真值表!B$2&amp;"&amp;","")),"")</f>
        <v>~OP4&amp;</v>
      </c>
      <c r="C12" s="3" t="str">
        <f>IF(组合逻辑真值表!C13&lt;&gt;"",IF(组合逻辑真值表!C13=1,组合逻辑真值表!C$2&amp;"&amp;",IF(组合逻辑真值表!C13=0,"~"&amp;组合逻辑真值表!C$2&amp;"&amp;","")),"")</f>
        <v>~OP3&amp;</v>
      </c>
      <c r="D12" s="3" t="str">
        <f>IF(组合逻辑真值表!D13&lt;&gt;"",IF(组合逻辑真值表!D13=1,组合逻辑真值表!D$2&amp;"&amp;",IF(组合逻辑真值表!D13=0,"~"&amp;组合逻辑真值表!D$2&amp;"&amp;","")),"")</f>
        <v>~OP2&amp;</v>
      </c>
      <c r="E12" s="3" t="str">
        <f>IF(组合逻辑真值表!E13&lt;&gt;"",IF(组合逻辑真值表!E13=1,组合逻辑真值表!E$2&amp;"&amp;",IF(组合逻辑真值表!E13=0,"~"&amp;组合逻辑真值表!E$2&amp;"&amp;","")),"")</f>
        <v>~OP1&amp;</v>
      </c>
      <c r="F12" s="3" t="str">
        <f>IF(组合逻辑真值表!F13&lt;&gt;"",IF(组合逻辑真值表!F13=1,组合逻辑真值表!F$2&amp;"&amp;",IF(组合逻辑真值表!F13=0,"~"&amp;组合逻辑真值表!F$2&amp;"&amp;","")),"")</f>
        <v>~OP0&amp;</v>
      </c>
      <c r="G12" s="3" t="str">
        <f>IF(组合逻辑真值表!G13&lt;&gt;"",IF(组合逻辑真值表!G13=1,组合逻辑真值表!G$2&amp;"&amp;",IF(组合逻辑真值表!G13=0,"~"&amp;组合逻辑真值表!G$2&amp;"&amp;","")),"")</f>
        <v>F5&amp;</v>
      </c>
      <c r="H12" s="3" t="str">
        <f>IF(组合逻辑真值表!H13&lt;&gt;"",IF(组合逻辑真值表!H13=1,组合逻辑真值表!H$2&amp;"&amp;",IF(组合逻辑真值表!H13=0,"~"&amp;组合逻辑真值表!H$2&amp;"&amp;","")),"")</f>
        <v>~F4&amp;</v>
      </c>
      <c r="I12" s="3" t="str">
        <f>IF(组合逻辑真值表!I13&lt;&gt;"",IF(组合逻辑真值表!I13=1,组合逻辑真值表!I$2&amp;"&amp;",IF(组合逻辑真值表!I13=0,"~"&amp;组合逻辑真值表!I$2&amp;"&amp;","")),"")</f>
        <v>~F3&amp;</v>
      </c>
      <c r="J12" s="3" t="str">
        <f>IF(组合逻辑真值表!J13&lt;&gt;"",IF(组合逻辑真值表!J13=1,组合逻辑真值表!J$2&amp;"&amp;",IF(组合逻辑真值表!J13=0,"~"&amp;组合逻辑真值表!J$2&amp;"&amp;","")),"")</f>
        <v>F2&amp;</v>
      </c>
      <c r="K12" s="3" t="str">
        <f>IF(组合逻辑真值表!K13&lt;&gt;"",IF(组合逻辑真值表!K13=1,组合逻辑真值表!K$2&amp;"&amp;",IF(组合逻辑真值表!K13=0,"~"&amp;组合逻辑真值表!K$2&amp;"&amp;","")),"")</f>
        <v>~F1&amp;</v>
      </c>
      <c r="L12" s="3" t="str">
        <f>IF(组合逻辑真值表!L13&lt;&gt;"",IF(组合逻辑真值表!L13=1,组合逻辑真值表!L$2&amp;"&amp;",IF(组合逻辑真值表!L13=0,"~"&amp;组合逻辑真值表!L$2&amp;"&amp;","")),"")</f>
        <v>~F0&amp;</v>
      </c>
      <c r="M12" s="11" t="str">
        <f t="shared" si="0"/>
        <v>~OP5&amp;~OP4&amp;~OP3&amp;~OP2&amp;~OP1&amp;~OP0&amp;F5&amp;~F4&amp;~F3&amp;F2&amp;~F1&amp;~F0</v>
      </c>
      <c r="N12" s="12" t="str">
        <f>IF(组合逻辑真值表!M13=1,$M12&amp;"+","")</f>
        <v/>
      </c>
      <c r="O12" s="12" t="str">
        <f>IF(组合逻辑真值表!N13=1,$M12&amp;"+","")</f>
        <v/>
      </c>
      <c r="P12" s="12" t="str">
        <f>IF(组合逻辑真值表!O13=1,$M12&amp;"+","")</f>
        <v/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/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/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/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/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/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~OP5&amp;~OP4&amp;OP3&amp;OP2&amp;~OP1&amp;~OP0</v>
      </c>
      <c r="O31" s="14" t="str">
        <f t="shared" si="2"/>
        <v>~OP5&amp;~OP4&amp;~OP3&amp;~OP2&amp;OP1&amp;~OP0</v>
      </c>
      <c r="P31" s="14" t="str">
        <f t="shared" ref="P31" si="3">IF(LEN(P32)&gt;1,LEFT(P32,LEN(P32)-1),"")</f>
        <v/>
      </c>
      <c r="Q31" s="14" t="str">
        <f t="shared" ref="Q31" si="4">IF(LEN(Q32)&gt;1,LEFT(Q32,LEN(Q32)-1),"")</f>
        <v/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~OP5&amp;~OP4&amp;OP3&amp;OP2&amp;~OP1&amp;~OP0+</v>
      </c>
      <c r="O32" s="15" t="str">
        <f t="shared" ref="O32:Y32" si="13">CONCATENATE(O2,O3,O4,O5,O6,O7,O8,O9,O10,O11,O12,O13,O14,O15,O16,O17,O18,O19,O20,O21,O22,O23,O24,O25,O26,O27,O28,O29,O30)</f>
        <v>~OP5&amp;~OP4&amp;~OP3&amp;~OP2&amp;OP1&amp;~OP0+</v>
      </c>
      <c r="P32" s="15" t="str">
        <f t="shared" si="13"/>
        <v/>
      </c>
      <c r="Q32" s="15" t="str">
        <f t="shared" si="13"/>
        <v/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31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  <arrUserId title="区域1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2025-10-23T06:18:31Z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F930927AF9324722AB1ECAECEA73BD2D_12</vt:lpwstr>
  </property>
</Properties>
</file>