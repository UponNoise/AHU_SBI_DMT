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64"/>
  <workbookPr defaultThemeVersion="124226"/>
  <bookViews>
    <workbookView xWindow="480" yWindow="60" windowWidth="18075" windowHeight="9900" activeTab="1"/>
  </bookViews>
  <sheets>
    <sheet name="Sheet1" sheetId="1" r:id="rId1"/>
    <sheet name="Results" sheetId="2" r:id="rId2"/>
  </sheets>
  <calcPr calcId="40001"/>
</workbook>
</file>

<file path=xl/sharedStrings.xml><?xml version="1.0" encoding="utf-8"?>
<sst xmlns="http://schemas.openxmlformats.org/spreadsheetml/2006/main" count="97" uniqueCount="53">
  <si>
    <t>The final scores for students from two classes in the year 2025</t>
  </si>
  <si>
    <t>Class A</t>
  </si>
  <si>
    <t>Class B</t>
  </si>
  <si>
    <t>SKEW A</t>
  </si>
  <si>
    <t>SKEW B</t>
  </si>
  <si>
    <t>KURT A</t>
  </si>
  <si>
    <t>KURT B</t>
  </si>
  <si>
    <t>A1:A97 (79.3789±11.8969)</t>
  </si>
  <si>
    <t>N</t>
  </si>
  <si>
    <t>Mean Deviation</t>
  </si>
  <si>
    <t>Mean</t>
  </si>
  <si>
    <t>Second Moment</t>
  </si>
  <si>
    <t xml:space="preserve">Mean LCL 95% </t>
  </si>
  <si>
    <t>Third Moment</t>
  </si>
  <si>
    <t xml:space="preserve">Mean UCL 95% </t>
  </si>
  <si>
    <t>Fourth Moment</t>
  </si>
  <si>
    <t>Variance</t>
  </si>
  <si>
    <t>Standard Deviation</t>
  </si>
  <si>
    <t>Sum</t>
  </si>
  <si>
    <t>Mean Standard Error</t>
  </si>
  <si>
    <t>Sum Standard Error</t>
  </si>
  <si>
    <t>Coefficient of Variation</t>
  </si>
  <si>
    <t>Total Sum Squares</t>
  </si>
  <si>
    <t>Adjusted Sum Squares</t>
  </si>
  <si>
    <t>Minimum</t>
  </si>
  <si>
    <t>Trimmed Mean (5%)</t>
  </si>
  <si>
    <t>Maximum</t>
  </si>
  <si>
    <t>Geometric Mean</t>
  </si>
  <si>
    <t>Range</t>
  </si>
  <si>
    <t>Harmonic Mean</t>
  </si>
  <si>
    <t>Mode</t>
  </si>
  <si>
    <t>Median</t>
  </si>
  <si>
    <t>Median Error</t>
  </si>
  <si>
    <t>Skewness</t>
  </si>
  <si>
    <t>Percentile 25% (Q1)</t>
  </si>
  <si>
    <t>Skewness Standard Error</t>
  </si>
  <si>
    <t>Percentile 75% (Q3)</t>
  </si>
  <si>
    <t>Kurtosis</t>
  </si>
  <si>
    <t>IQR</t>
  </si>
  <si>
    <t>Kurtosis Standard Error</t>
  </si>
  <si>
    <t>Median Absolute Deviation</t>
  </si>
  <si>
    <t>Fisher's Skewness G1</t>
  </si>
  <si>
    <t>Coefficient of Dispersion</t>
  </si>
  <si>
    <t>Fisher's Kurtosis G2</t>
  </si>
  <si>
    <t>B1:B97 (71.4194±19.071)</t>
  </si>
  <si>
    <t>20 To 30</t>
  </si>
  <si>
    <t>30 To 40</t>
  </si>
  <si>
    <t>40 To 50</t>
  </si>
  <si>
    <t>50 To 60</t>
  </si>
  <si>
    <t>60 To 70</t>
  </si>
  <si>
    <t>70 To 80</t>
  </si>
  <si>
    <t>80 To 90</t>
  </si>
  <si>
    <t>90 and over</t>
  </si>
</sst>
</file>

<file path=xl/styles.xml><?xml version="1.0" encoding="utf-8"?>
<styleSheet xmlns="http://schemas.openxmlformats.org/spreadsheetml/2006/main">
  <numFmts count="2">
    <numFmt numFmtId="164" formatCode="0.0000_ "/>
    <numFmt numFmtId="165" formatCode="#,##0.0000"/>
  </numFmts>
  <fonts count="24">
    <font>
      <sz val="12"/>
      <color rgb="FF000000"/>
      <name val="等线"/>
    </font>
    <font>
      <sz val="10"/>
      <color rgb="FF000000"/>
      <name val="Arial"/>
    </font>
    <font>
      <b/>
      <sz val="11"/>
      <color rgb="FF000000"/>
      <name val="Arial"/>
    </font>
    <font>
      <i/>
      <sz val="10"/>
      <color rgb="FF000000"/>
      <name val="Arial"/>
    </font>
    <font>
      <b/>
      <sz val="12"/>
      <color rgb="FF000000"/>
      <name val="等线"/>
    </font>
    <font>
      <sz val="11"/>
      <color rgb="FF000000"/>
      <name val="等线"/>
    </font>
    <font>
      <sz val="12"/>
      <color theme="0"/>
      <name val="等线"/>
    </font>
    <font>
      <sz val="10"/>
      <color theme="1"/>
      <name val="SimSun"/>
    </font>
    <font>
      <b/>
      <sz val="10"/>
      <color theme="1"/>
      <name val="SimSun"/>
    </font>
    <font>
      <b/>
      <sz val="12"/>
      <color theme="3"/>
      <name val="等线"/>
    </font>
    <font>
      <b/>
      <sz val="12"/>
      <color theme="1"/>
      <name val="SimSun"/>
    </font>
    <font>
      <sz val="12"/>
      <color rgb="FF9C6500"/>
      <name val="等线"/>
    </font>
    <font>
      <b/>
      <sz val="12"/>
      <color theme="0"/>
      <name val="等线"/>
    </font>
    <font>
      <b/>
      <sz val="12"/>
      <color rgb="FFFA7D00"/>
      <name val="等线"/>
    </font>
    <font>
      <b/>
      <sz val="12"/>
      <color rgb="FF3F3F3F"/>
      <name val="等线"/>
    </font>
    <font>
      <sz val="12"/>
      <color rgb="FFFF0000"/>
      <name val="等线"/>
    </font>
    <font>
      <sz val="12"/>
      <color rgb="FFFA7D00"/>
      <name val="等线"/>
    </font>
    <font>
      <b/>
      <sz val="15"/>
      <color theme="3"/>
      <name val="等线"/>
    </font>
    <font>
      <b/>
      <sz val="13"/>
      <color theme="3"/>
      <name val="等线"/>
    </font>
    <font>
      <sz val="12"/>
      <color rgb="FF006100"/>
      <name val="等线"/>
    </font>
    <font>
      <sz val="12"/>
      <color rgb="FF9C0006"/>
      <name val="等线"/>
    </font>
    <font>
      <sz val="12"/>
      <color rgb="FF3F3F76"/>
      <name val="等线"/>
    </font>
    <font>
      <b/>
      <sz val="18"/>
      <color theme="3"/>
      <name val="Cambria"/>
      <family val="2"/>
      <scheme val="major"/>
    </font>
    <font>
      <i/>
      <sz val="12"/>
      <color rgb="FF7F7F7F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Alignment="1"/>
    <xf numFmtId="165" fontId="1" fillId="0" borderId="0" xfId="0" applyNumberFormat="1" applyFont="1" applyFill="1" applyAlignment="1"/>
    <xf numFmtId="0" fontId="2" fillId="0" borderId="1" xfId="0" applyFont="1" applyFill="1" applyBorder="1" applyAlignment="1"/>
    <xf numFmtId="164" fontId="0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1" fillId="0" borderId="0" xfId="0" applyFont="1" applyFill="1" applyAlignment="1"/>
    <xf numFmtId="0" fontId="5" fillId="0" borderId="0" xfId="0" applyFont="1" applyFill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sz="1200" b="1"/>
              <a:t>Histogram for "A1:A97"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A1:A97</c:v>
          </c:tx>
          <c:spPr>
            <a:ln w="0">
              <a:solidFill>
                <a:srgbClr val="386D9E"/>
              </a:solidFill>
            </a:ln>
          </c:spPr>
          <c:invertIfNegative val="0"/>
          <c:cat>
            <c:strRef>
              <c:f>Results!$GS$2:$GS$9</c:f>
              <c:strCache/>
            </c:strRef>
          </c:cat>
          <c:val>
            <c:numRef>
              <c:f>Results!$GT$2:$GT$9</c:f>
              <c:numCache/>
            </c:numRef>
          </c:val>
        </c:ser>
        <c:gapWidth val="5"/>
        <c:axId val="0"/>
        <c:axId val="1"/>
      </c:barChart>
      <c:cat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Value</a:t>
                </a:r>
              </a:p>
            </c:rich>
          </c:tx>
          <c:overlay val="0"/>
        </c:title>
        <c:majorTickMark val="out"/>
        <c:minorTickMark val="none"/>
        <c:tickLblPos val="nextTo"/>
        <c:crossAx val="1"/>
        <c:crosses val="min"/>
        <c:auto val="1"/>
        <c:lblAlgn val="ctr"/>
        <c:lblOffset val="100"/>
      </c:catAx>
      <c:valAx>
        <c:axId val="1"/>
        <c:scaling>
          <c:orientation val="minMax"/>
          <c:max val="51"/>
          <c:min val="0"/>
        </c:scaling>
        <c:delete val="0"/>
        <c:axPos val="l"/>
        <c:majorGridlines>
          <c:spPr>
            <a:ln>
              <a:solidFill>
                <a:sysClr val="windowText">
                  <a:alpha val="25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No. of obs.</a:t>
                </a:r>
              </a:p>
            </c:rich>
          </c:tx>
          <c:overlay val="0"/>
        </c:title>
        <c:majorTickMark val="out"/>
        <c:minorTickMark val="none"/>
        <c:tickLblPos val="nextTo"/>
        <c:crossAx val="0"/>
        <c:crosses val="min"/>
        <c:crossBetween val="between"/>
      </c:valAx>
    </c:plotArea>
    <c:plotVisOnly val="0"/>
    <c:dispBlanksAs val="gap"/>
    <c:showDLblsOverMax val="0"/>
  </c:chart>
  <c:printSettings>
    <c:pageMargins l="0.7" r="0.7" t="0.75" b="0.75" header="0.3" footer="0.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sz="1200" b="1"/>
              <a:t>Histogram for "B1:B97"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B1:B97</c:v>
          </c:tx>
          <c:spPr>
            <a:ln w="0">
              <a:solidFill>
                <a:srgbClr val="386D9E"/>
              </a:solidFill>
            </a:ln>
          </c:spPr>
          <c:invertIfNegative val="0"/>
          <c:cat>
            <c:strRef>
              <c:f>Results!$GV$2:$GV$9</c:f>
              <c:strCache/>
            </c:strRef>
          </c:cat>
          <c:val>
            <c:numRef>
              <c:f>Results!$GW$2:$GW$9</c:f>
              <c:numCache/>
            </c:numRef>
          </c:val>
        </c:ser>
        <c:gapWidth val="5"/>
        <c:axId val="0"/>
        <c:axId val="1"/>
      </c:barChart>
      <c:cat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Value</a:t>
                </a:r>
              </a:p>
            </c:rich>
          </c:tx>
          <c:overlay val="0"/>
        </c:title>
        <c:majorTickMark val="out"/>
        <c:minorTickMark val="none"/>
        <c:tickLblPos val="nextTo"/>
        <c:crossAx val="1"/>
        <c:crosses val="min"/>
        <c:auto val="1"/>
        <c:lblAlgn val="ctr"/>
        <c:lblOffset val="100"/>
      </c:catAx>
      <c:valAx>
        <c:axId val="1"/>
        <c:scaling>
          <c:orientation val="minMax"/>
          <c:max val="24"/>
          <c:min val="0"/>
        </c:scaling>
        <c:delete val="0"/>
        <c:axPos val="l"/>
        <c:majorGridlines>
          <c:spPr>
            <a:ln>
              <a:solidFill>
                <a:sysClr val="windowText">
                  <a:alpha val="25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No. of obs.</a:t>
                </a:r>
              </a:p>
            </c:rich>
          </c:tx>
          <c:overlay val="0"/>
        </c:title>
        <c:majorTickMark val="out"/>
        <c:minorTickMark val="none"/>
        <c:tickLblPos val="nextTo"/>
        <c:crossAx val="0"/>
        <c:crosses val="min"/>
        <c:crossBetween val="between"/>
      </c:valAx>
    </c:plotArea>
    <c:plotVisOnly val="0"/>
    <c:dispBlanksAs val="gap"/>
    <c:showDLblsOverMax val="0"/>
  </c:chart>
  <c:printSettings>
    <c:pageMargins l="0.7" r="0.7" t="0.75" b="0.75" header="0.3" footer="0.3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4</xdr:col>
      <xdr:colOff>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4</xdr:col>
      <xdr:colOff>0</xdr:colOff>
      <xdr:row>82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7"/>
  <sheetViews>
    <sheetView zoomScale="145" workbookViewId="0">
      <selection activeCell="F3" sqref="F3"/>
    </sheetView>
  </sheetViews>
  <sheetFormatPr defaultColWidth="11.07421875" defaultRowHeight="15.5" customHeight="1"/>
  <cols>
    <col min="1" max="6" width="11.07421875" customWidth="1"/>
  </cols>
  <sheetData>
    <row ht="14.05">
      <c t="s">
        <v>0</v>
      </c>
    </row>
    <row ht="14.05">
      <c s="5" t="s">
        <v>1</v>
      </c>
      <c s="5" t="s">
        <v>2</v>
      </c>
      <c s="3" t="s">
        <v>3</v>
      </c>
      <c s="3" t="s">
        <v>4</v>
      </c>
      <c s="3" t="s">
        <v>5</v>
      </c>
      <c s="3" t="s">
        <v>6</v>
      </c>
    </row>
    <row ht="14.05">
      <c s="7">
        <v>66</v>
      </c>
      <c>
        <v>94</v>
      </c>
      <c s="3">
        <f>SKEW(A2:A97)</f>
        <v>-1.6987113728001471</v>
      </c>
      <c s="3">
        <f>SKEW(B2:B95)</f>
        <v>-0.72363273898915326</v>
      </c>
      <c s="3">
        <f>KURT(A2:A97)</f>
        <v>4.3330135489807748</v>
      </c>
      <c s="3">
        <f>KURT(B2:B95)</f>
        <v>-0.31647468031103765</v>
      </c>
    </row>
    <row ht="14.05">
      <c s="7">
        <v>95</v>
      </c>
      <c>
        <v>92</v>
      </c>
    </row>
    <row ht="14.05">
      <c s="7">
        <v>87</v>
      </c>
      <c>
        <v>79</v>
      </c>
    </row>
    <row ht="14.05">
      <c s="7">
        <v>84</v>
      </c>
      <c>
        <v>89</v>
      </c>
    </row>
    <row ht="14.05">
      <c s="7">
        <v>88</v>
      </c>
      <c>
        <v>90</v>
      </c>
    </row>
    <row ht="14.05">
      <c s="7">
        <v>80</v>
      </c>
      <c>
        <v>94</v>
      </c>
    </row>
    <row ht="14.05">
      <c s="7">
        <v>88</v>
      </c>
      <c>
        <v>89</v>
      </c>
    </row>
    <row ht="14.05">
      <c s="7">
        <v>68</v>
      </c>
      <c>
        <v>92</v>
      </c>
    </row>
    <row ht="14.05">
      <c s="7">
        <v>78</v>
      </c>
      <c>
        <v>39</v>
      </c>
    </row>
    <row ht="14.05">
      <c s="7">
        <v>73</v>
      </c>
      <c>
        <v>96</v>
      </c>
    </row>
    <row ht="14.05">
      <c s="7">
        <v>53</v>
      </c>
      <c>
        <v>55</v>
      </c>
    </row>
    <row ht="14.05">
      <c s="7">
        <v>86</v>
      </c>
      <c>
        <v>75</v>
      </c>
    </row>
    <row ht="14.05">
      <c s="7">
        <v>88</v>
      </c>
      <c>
        <v>48</v>
      </c>
    </row>
    <row ht="14.05">
      <c s="7">
        <v>81</v>
      </c>
      <c>
        <v>73</v>
      </c>
    </row>
    <row ht="14.05">
      <c s="7">
        <v>78</v>
      </c>
      <c>
        <v>55</v>
      </c>
    </row>
    <row ht="14.05">
      <c s="7">
        <v>94</v>
      </c>
      <c>
        <v>71</v>
      </c>
    </row>
    <row ht="14.05">
      <c s="7">
        <v>77</v>
      </c>
      <c>
        <v>80</v>
      </c>
    </row>
    <row ht="14.05">
      <c s="7">
        <v>88</v>
      </c>
      <c>
        <v>62</v>
      </c>
    </row>
    <row ht="14.05">
      <c s="7">
        <v>67</v>
      </c>
      <c>
        <v>50</v>
      </c>
    </row>
    <row ht="14.05">
      <c s="7">
        <v>90</v>
      </c>
      <c>
        <v>80</v>
      </c>
    </row>
    <row ht="14.05">
      <c s="7">
        <v>90</v>
      </c>
      <c>
        <v>87</v>
      </c>
    </row>
    <row ht="14.05">
      <c s="7">
        <v>55</v>
      </c>
      <c>
        <v>85</v>
      </c>
    </row>
    <row ht="14.05">
      <c s="7">
        <v>74</v>
      </c>
      <c>
        <v>71</v>
      </c>
    </row>
    <row ht="14.05">
      <c s="7">
        <v>84</v>
      </c>
      <c>
        <v>24</v>
      </c>
    </row>
    <row ht="14.05">
      <c s="7">
        <v>55</v>
      </c>
      <c>
        <v>71</v>
      </c>
    </row>
    <row ht="14.05">
      <c s="7">
        <v>75</v>
      </c>
      <c>
        <v>94</v>
      </c>
    </row>
    <row ht="14.05">
      <c s="7">
        <v>83</v>
      </c>
      <c>
        <v>94</v>
      </c>
    </row>
    <row ht="14.05">
      <c s="7">
        <v>91</v>
      </c>
      <c>
        <v>75</v>
      </c>
    </row>
    <row ht="14.05">
      <c s="7">
        <v>82</v>
      </c>
      <c>
        <v>65</v>
      </c>
    </row>
    <row ht="14.05">
      <c s="7">
        <v>70</v>
      </c>
      <c>
        <v>21</v>
      </c>
    </row>
    <row ht="14.05">
      <c s="7">
        <v>84</v>
      </c>
      <c>
        <v>90</v>
      </c>
    </row>
    <row ht="14.05">
      <c s="7">
        <v>80</v>
      </c>
      <c>
        <v>84</v>
      </c>
    </row>
    <row ht="14.05">
      <c s="7">
        <v>92</v>
      </c>
      <c>
        <v>77</v>
      </c>
    </row>
    <row ht="14.05">
      <c s="7">
        <v>82</v>
      </c>
      <c>
        <v>90</v>
      </c>
    </row>
    <row ht="14.05">
      <c s="7">
        <v>96</v>
      </c>
      <c>
        <v>90</v>
      </c>
    </row>
    <row ht="14.05">
      <c s="7">
        <v>72</v>
      </c>
      <c>
        <v>67</v>
      </c>
    </row>
    <row ht="14.05">
      <c s="7">
        <v>84</v>
      </c>
      <c>
        <v>98</v>
      </c>
    </row>
    <row ht="14.05">
      <c s="7">
        <v>89</v>
      </c>
      <c>
        <v>67</v>
      </c>
    </row>
    <row ht="14.05">
      <c s="7">
        <v>34</v>
      </c>
      <c>
        <v>91</v>
      </c>
    </row>
    <row ht="14.05">
      <c s="7">
        <v>89</v>
      </c>
      <c>
        <v>87</v>
      </c>
    </row>
    <row ht="14.05">
      <c s="7">
        <v>69</v>
      </c>
      <c>
        <v>85</v>
      </c>
    </row>
    <row ht="14.05">
      <c s="7">
        <v>89</v>
      </c>
      <c>
        <v>90</v>
      </c>
    </row>
    <row ht="14.05">
      <c s="7">
        <v>62</v>
      </c>
      <c>
        <v>94</v>
      </c>
    </row>
    <row ht="14.05">
      <c s="7">
        <v>71</v>
      </c>
      <c>
        <v>32</v>
      </c>
    </row>
    <row ht="14.05">
      <c s="7">
        <v>96</v>
      </c>
      <c>
        <v>83</v>
      </c>
    </row>
    <row ht="14.05">
      <c s="7">
        <v>80</v>
      </c>
      <c>
        <v>75</v>
      </c>
    </row>
    <row ht="14.05">
      <c s="7">
        <v>88</v>
      </c>
      <c>
        <v>56</v>
      </c>
    </row>
    <row ht="14.05">
      <c s="7">
        <v>77</v>
      </c>
      <c>
        <v>60</v>
      </c>
    </row>
    <row ht="14.05">
      <c s="7">
        <v>70</v>
      </c>
      <c>
        <v>82</v>
      </c>
    </row>
    <row ht="14.05">
      <c s="7">
        <v>64</v>
      </c>
      <c>
        <v>55</v>
      </c>
    </row>
    <row ht="14.05">
      <c s="7">
        <v>93</v>
      </c>
      <c>
        <v>93</v>
      </c>
    </row>
    <row ht="14.05">
      <c s="7">
        <v>83</v>
      </c>
      <c>
        <v>68</v>
      </c>
    </row>
    <row ht="14.05">
      <c s="7">
        <v>82</v>
      </c>
      <c>
        <v>90</v>
      </c>
    </row>
    <row ht="14.05">
      <c s="7">
        <v>94</v>
      </c>
      <c>
        <v>82</v>
      </c>
    </row>
    <row ht="14.05">
      <c s="7">
        <v>91</v>
      </c>
      <c>
        <v>86</v>
      </c>
    </row>
    <row ht="14.05">
      <c s="7">
        <v>72</v>
      </c>
      <c>
        <v>64</v>
      </c>
    </row>
    <row ht="14.05">
      <c s="7">
        <v>84</v>
      </c>
      <c>
        <v>80</v>
      </c>
    </row>
    <row ht="14.05">
      <c s="7">
        <v>84</v>
      </c>
      <c>
        <v>69</v>
      </c>
    </row>
    <row ht="14.05">
      <c s="7">
        <v>80</v>
      </c>
      <c>
        <v>36</v>
      </c>
    </row>
    <row ht="14.05">
      <c s="7">
        <v>82</v>
      </c>
      <c>
        <v>77</v>
      </c>
    </row>
    <row ht="14.05">
      <c s="7">
        <v>78</v>
      </c>
      <c>
        <v>87</v>
      </c>
    </row>
    <row ht="14.05">
      <c s="7">
        <v>77</v>
      </c>
      <c>
        <v>87</v>
      </c>
    </row>
    <row ht="14.05">
      <c s="7">
        <v>80</v>
      </c>
      <c>
        <v>61</v>
      </c>
    </row>
    <row ht="14.05">
      <c s="7">
        <v>60</v>
      </c>
      <c>
        <v>56</v>
      </c>
    </row>
    <row ht="14.05">
      <c s="7">
        <v>73</v>
      </c>
      <c>
        <v>84</v>
      </c>
    </row>
    <row ht="14.05">
      <c s="7">
        <v>84</v>
      </c>
      <c>
        <v>32</v>
      </c>
    </row>
    <row ht="14.05">
      <c s="7">
        <v>84</v>
      </c>
      <c>
        <v>88</v>
      </c>
    </row>
    <row ht="14.05">
      <c s="7">
        <v>82</v>
      </c>
      <c>
        <v>55</v>
      </c>
    </row>
    <row ht="14.05">
      <c s="7">
        <v>73</v>
      </c>
      <c>
        <v>44</v>
      </c>
    </row>
    <row ht="14.05">
      <c s="7">
        <v>74</v>
      </c>
      <c>
        <v>63</v>
      </c>
    </row>
    <row ht="14.05">
      <c s="7">
        <v>82</v>
      </c>
      <c>
        <v>77</v>
      </c>
    </row>
    <row ht="14.05">
      <c s="7">
        <v>88</v>
      </c>
      <c>
        <v>92</v>
      </c>
    </row>
    <row ht="14.05">
      <c s="7">
        <v>85</v>
      </c>
      <c>
        <v>60</v>
      </c>
    </row>
    <row ht="14.05">
      <c s="7">
        <v>70</v>
      </c>
      <c>
        <v>47</v>
      </c>
    </row>
    <row ht="14.05">
      <c s="7">
        <v>89</v>
      </c>
      <c>
        <v>30</v>
      </c>
    </row>
    <row ht="14.05">
      <c s="7">
        <v>85</v>
      </c>
      <c>
        <v>72</v>
      </c>
    </row>
    <row ht="14.05">
      <c s="7">
        <v>86</v>
      </c>
      <c>
        <v>55</v>
      </c>
    </row>
    <row ht="14.05">
      <c s="7">
        <v>90</v>
      </c>
      <c>
        <v>78</v>
      </c>
    </row>
    <row ht="14.05">
      <c s="7">
        <v>89</v>
      </c>
      <c>
        <v>40</v>
      </c>
    </row>
    <row ht="14.05">
      <c s="7">
        <v>80</v>
      </c>
      <c>
        <v>66</v>
      </c>
    </row>
    <row ht="14.05">
      <c s="7">
        <v>75</v>
      </c>
      <c>
        <v>42</v>
      </c>
    </row>
    <row ht="14.05">
      <c s="7">
        <v>92</v>
      </c>
      <c>
        <v>78</v>
      </c>
    </row>
    <row ht="14.05">
      <c s="7">
        <v>82</v>
      </c>
      <c>
        <v>93</v>
      </c>
    </row>
    <row ht="14.05">
      <c s="7">
        <v>84</v>
      </c>
      <c>
        <v>54</v>
      </c>
    </row>
    <row ht="14.05">
      <c s="7">
        <v>91</v>
      </c>
      <c>
        <v>45</v>
      </c>
    </row>
    <row ht="14.05">
      <c s="7">
        <v>83</v>
      </c>
      <c>
        <v>74</v>
      </c>
    </row>
    <row ht="14.05">
      <c s="7">
        <v>71</v>
      </c>
      <c>
        <v>66</v>
      </c>
    </row>
    <row ht="14.05">
      <c s="7">
        <v>79</v>
      </c>
      <c>
        <v>46</v>
      </c>
    </row>
    <row ht="14.05">
      <c s="7">
        <v>87</v>
      </c>
      <c>
        <v>90</v>
      </c>
    </row>
    <row ht="14.05">
      <c s="7">
        <v>29</v>
      </c>
      <c>
        <v>92</v>
      </c>
    </row>
    <row ht="14.05">
      <c s="7">
        <v>82</v>
      </c>
      <c>
        <v>72</v>
      </c>
    </row>
    <row ht="14.05">
      <c s="7">
        <v>71</v>
      </c>
      <c>
        <v>57</v>
      </c>
    </row>
    <row ht="14.05">
      <c s="7">
        <v>80</v>
      </c>
      <c>
        <v>71</v>
      </c>
    </row>
    <row ht="14.05">
      <c s="7">
        <v>57</v>
      </c>
    </row>
    <row ht="14.05">
      <c s="7">
        <v>88</v>
      </c>
    </row>
  </sheetData>
  <pageMargins left="0.7" right="0.7" top="0.75" bottom="0.75" header="0.300000009574289" footer="0.300000009574289"/>
  <pageSetup paperSize="9" fitToWidth="0" fitToHeight="0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X62"/>
  <sheetViews>
    <sheetView tabSelected="1" topLeftCell="A25" workbookViewId="0">
      <selection activeCell="F66" sqref="F66"/>
    </sheetView>
  </sheetViews>
  <sheetFormatPr defaultRowHeight="13"/>
  <cols>
    <col min="1" max="1" width="19.63671875" style="6" customWidth="1"/>
    <col min="2" max="2" width="8.84765625" style="6" customWidth="1"/>
    <col min="3" max="3" width="18.84765625" style="6" customWidth="1"/>
    <col min="4" max="4" width="10.5" style="6" customWidth="1"/>
    <col min="5" max="200" width="8.84375" style="6"/>
    <col min="201" max="206" width="8.84375" style="6" hidden="1" customWidth="1"/>
    <col min="207" max="16384" width="8.84375" style="6"/>
  </cols>
  <sheetData>
    <row ht="14.15">
      <c s="2" t="s">
        <v>7</v>
      </c>
      <c s="2"/>
      <c s="2"/>
      <c s="2"/>
    </row>
    <row>
      <c s="4" t="s">
        <v>8</v>
      </c>
      <c s="6">
        <v>95</v>
      </c>
      <c s="4" t="s">
        <v>9</v>
      </c>
      <c s="1">
        <v>8.6581717451523605</v>
      </c>
      <c r="GS2" s="6" t="s">
        <v>45</v>
      </c>
      <c s="6">
        <v>1</v>
      </c>
      <c s="6">
        <v>25</v>
      </c>
      <c s="6" t="s">
        <v>45</v>
      </c>
      <c s="6">
        <v>2</v>
      </c>
      <c s="6">
        <v>25</v>
      </c>
    </row>
    <row>
      <c s="4" t="s">
        <v>10</v>
      </c>
      <c s="1">
        <v>79.378947368421095</v>
      </c>
      <c s="4" t="s">
        <v>11</v>
      </c>
      <c s="1">
        <v>140.045872576177</v>
      </c>
      <c r="GS3" s="6" t="s">
        <v>46</v>
      </c>
      <c s="6">
        <v>1</v>
      </c>
      <c s="6">
        <v>35</v>
      </c>
      <c s="6" t="s">
        <v>46</v>
      </c>
      <c s="6">
        <v>5</v>
      </c>
      <c s="6">
        <v>35</v>
      </c>
    </row>
    <row>
      <c s="4" t="s">
        <v>12</v>
      </c>
      <c s="1">
        <v>76.955429372143499</v>
      </c>
      <c s="4" t="s">
        <v>13</v>
      </c>
      <c s="1">
        <v>-2770.6539355591199</v>
      </c>
      <c r="GS4" s="6" t="s">
        <v>47</v>
      </c>
      <c s="6">
        <v>0</v>
      </c>
      <c s="6">
        <v>45</v>
      </c>
      <c s="6" t="s">
        <v>47</v>
      </c>
      <c s="6">
        <v>7</v>
      </c>
      <c s="6">
        <v>45</v>
      </c>
    </row>
    <row>
      <c s="4" t="s">
        <v>14</v>
      </c>
      <c s="1">
        <v>81.802465364698605</v>
      </c>
      <c s="4" t="s">
        <v>15</v>
      </c>
      <c s="1">
        <v>138188.11667881001</v>
      </c>
      <c r="GS5" s="6" t="s">
        <v>48</v>
      </c>
      <c s="6">
        <v>4</v>
      </c>
      <c s="6">
        <v>55</v>
      </c>
      <c s="6" t="s">
        <v>48</v>
      </c>
      <c s="6">
        <v>10</v>
      </c>
      <c s="6">
        <v>55</v>
      </c>
    </row>
    <row>
      <c s="4" t="s">
        <v>16</v>
      </c>
      <c s="1">
        <v>141.535722284434</v>
      </c>
      <c s="4"/>
      <c r="GS6" s="6" t="s">
        <v>49</v>
      </c>
      <c s="6">
        <v>7</v>
      </c>
      <c s="6">
        <v>65</v>
      </c>
      <c s="6" t="s">
        <v>49</v>
      </c>
      <c s="6">
        <v>13</v>
      </c>
      <c s="6">
        <v>65</v>
      </c>
    </row>
    <row>
      <c s="4" t="s">
        <v>17</v>
      </c>
      <c s="1">
        <v>11.896878678226299</v>
      </c>
      <c s="4" t="s">
        <v>18</v>
      </c>
      <c s="1">
        <v>7541</v>
      </c>
      <c r="GS7" s="6" t="s">
        <v>50</v>
      </c>
      <c s="6">
        <v>22</v>
      </c>
      <c s="6">
        <v>75</v>
      </c>
      <c s="6" t="s">
        <v>50</v>
      </c>
      <c s="6">
        <v>17</v>
      </c>
      <c s="6">
        <v>75</v>
      </c>
    </row>
    <row>
      <c s="4" t="s">
        <v>19</v>
      </c>
      <c s="1">
        <v>1.2205939981243601</v>
      </c>
      <c s="4" t="s">
        <v>20</v>
      </c>
      <c s="1">
        <v>115.956429821814</v>
      </c>
      <c r="GS8" s="6" t="s">
        <v>51</v>
      </c>
      <c s="6">
        <v>46</v>
      </c>
      <c s="6">
        <v>85</v>
      </c>
      <c s="6" t="s">
        <v>51</v>
      </c>
      <c s="6">
        <v>18</v>
      </c>
      <c s="6">
        <v>85</v>
      </c>
    </row>
    <row>
      <c s="4" t="s">
        <v>21</v>
      </c>
      <c s="1">
        <v>0.149874482751823</v>
      </c>
      <c s="4" t="s">
        <v>22</v>
      </c>
      <c s="1">
        <v>611901</v>
      </c>
      <c r="GS9" s="6" t="s">
        <v>52</v>
      </c>
      <c s="6">
        <v>14</v>
      </c>
      <c s="6">
        <v>95</v>
      </c>
      <c s="6" t="s">
        <v>52</v>
      </c>
      <c s="6">
        <v>21</v>
      </c>
      <c s="6">
        <v>95</v>
      </c>
    </row>
    <row>
      <c s="4"/>
      <c r="C10" s="4" t="s">
        <v>23</v>
      </c>
      <c s="1">
        <v>13304.357894736801</v>
      </c>
    </row>
    <row>
      <c s="4" t="s">
        <v>24</v>
      </c>
      <c s="1">
        <v>29</v>
      </c>
      <c s="4" t="s">
        <v>25</v>
      </c>
      <c s="1">
        <v>80.435672514619895</v>
      </c>
    </row>
    <row>
      <c s="4" t="s">
        <v>26</v>
      </c>
      <c s="1">
        <v>96</v>
      </c>
      <c s="4" t="s">
        <v>27</v>
      </c>
      <c s="1">
        <v>78.229366253548704</v>
      </c>
    </row>
    <row>
      <c s="4" t="s">
        <v>28</v>
      </c>
      <c s="1">
        <v>67</v>
      </c>
      <c s="4" t="s">
        <v>29</v>
      </c>
      <c s="1">
        <v>76.628570101596793</v>
      </c>
    </row>
    <row>
      <c s="4"/>
      <c r="C14" s="4" t="s">
        <v>30</v>
      </c>
      <c s="1">
        <v>84</v>
      </c>
    </row>
    <row>
      <c s="4" t="s">
        <v>31</v>
      </c>
      <c s="1">
        <v>82</v>
      </c>
      <c s="4"/>
    </row>
    <row>
      <c s="4" t="s">
        <v>32</v>
      </c>
      <c s="1">
        <v>0.15695290776156101</v>
      </c>
      <c s="4" t="s">
        <v>33</v>
      </c>
      <c s="1">
        <v>-1.6717711007759299</v>
      </c>
    </row>
    <row>
      <c s="4" t="s">
        <v>34</v>
      </c>
      <c s="1">
        <v>73.1666666666667</v>
      </c>
      <c s="4" t="s">
        <v>35</v>
      </c>
      <c s="1">
        <v>0.24484480715717999</v>
      </c>
    </row>
    <row>
      <c s="4" t="s">
        <v>36</v>
      </c>
      <c s="1">
        <v>88</v>
      </c>
      <c s="4" t="s">
        <v>37</v>
      </c>
      <c s="1">
        <v>7.0457960909884196</v>
      </c>
    </row>
    <row>
      <c s="4" t="s">
        <v>38</v>
      </c>
      <c s="1">
        <v>14.8333333333333</v>
      </c>
      <c s="4" t="s">
        <v>39</v>
      </c>
      <c s="1">
        <v>0.47463736030068499</v>
      </c>
    </row>
    <row>
      <c s="4" t="s">
        <v>40</v>
      </c>
      <c s="1">
        <v>5</v>
      </c>
      <c s="4" t="s">
        <v>41</v>
      </c>
      <c s="1">
        <v>-1.6987113728001499</v>
      </c>
    </row>
    <row>
      <c s="4" t="s">
        <v>42</v>
      </c>
      <c s="1">
        <v>0.101026957637997</v>
      </c>
      <c s="4" t="s">
        <v>43</v>
      </c>
      <c s="1">
        <v>4.3330135489807802</v>
      </c>
    </row>
    <row r="42" ht="14.15">
      <c s="2" t="s">
        <v>44</v>
      </c>
      <c s="2"/>
      <c s="2"/>
      <c s="2"/>
    </row>
    <row>
      <c s="4" t="s">
        <v>8</v>
      </c>
      <c s="6">
        <v>93</v>
      </c>
      <c s="4" t="s">
        <v>9</v>
      </c>
      <c s="1">
        <v>15.7460978147763</v>
      </c>
    </row>
    <row>
      <c s="4" t="s">
        <v>10</v>
      </c>
      <c s="1">
        <v>71.419354838709694</v>
      </c>
      <c s="4" t="s">
        <v>11</v>
      </c>
      <c s="1">
        <v>359.791883454735</v>
      </c>
    </row>
    <row>
      <c s="4" t="s">
        <v>12</v>
      </c>
      <c s="1">
        <v>67.491731006193206</v>
      </c>
      <c s="4" t="s">
        <v>13</v>
      </c>
      <c s="1">
        <v>-4858.4893424188504</v>
      </c>
    </row>
    <row>
      <c s="4" t="s">
        <v>14</v>
      </c>
      <c s="1">
        <v>75.346978671226097</v>
      </c>
      <c s="4" t="s">
        <v>15</v>
      </c>
      <c s="1">
        <v>341289.76808540401</v>
      </c>
    </row>
    <row>
      <c s="4" t="s">
        <v>16</v>
      </c>
      <c s="1">
        <v>363.702664796634</v>
      </c>
      <c s="4"/>
    </row>
    <row>
      <c s="4" t="s">
        <v>17</v>
      </c>
      <c s="1">
        <v>19.070990136766198</v>
      </c>
      <c s="4" t="s">
        <v>18</v>
      </c>
      <c s="1">
        <v>6642</v>
      </c>
    </row>
    <row>
      <c s="4" t="s">
        <v>19</v>
      </c>
      <c s="1">
        <v>1.9775695542506899</v>
      </c>
      <c s="4" t="s">
        <v>20</v>
      </c>
      <c s="1">
        <v>183.91396854531499</v>
      </c>
    </row>
    <row>
      <c s="4" t="s">
        <v>21</v>
      </c>
      <c s="1">
        <v>0.26702831718145997</v>
      </c>
      <c s="4" t="s">
        <v>22</v>
      </c>
      <c s="1">
        <v>507828</v>
      </c>
    </row>
    <row>
      <c s="4"/>
      <c r="C51" s="4" t="s">
        <v>23</v>
      </c>
      <c s="1">
        <v>33460.645161290297</v>
      </c>
    </row>
    <row>
      <c s="4" t="s">
        <v>24</v>
      </c>
      <c s="1">
        <v>21</v>
      </c>
      <c s="4" t="s">
        <v>25</v>
      </c>
      <c s="1">
        <v>72.534050179211505</v>
      </c>
    </row>
    <row>
      <c s="4" t="s">
        <v>26</v>
      </c>
      <c s="1">
        <v>98</v>
      </c>
      <c s="4" t="s">
        <v>27</v>
      </c>
      <c s="1">
        <v>68.236741560303003</v>
      </c>
    </row>
    <row>
      <c s="4" t="s">
        <v>28</v>
      </c>
      <c s="1">
        <v>77</v>
      </c>
      <c s="4" t="s">
        <v>29</v>
      </c>
      <c s="1">
        <v>64.147164731106102</v>
      </c>
    </row>
    <row>
      <c s="4"/>
      <c r="C55" s="4" t="s">
        <v>30</v>
      </c>
      <c s="1">
        <v>90</v>
      </c>
    </row>
    <row>
      <c s="4" t="s">
        <v>31</v>
      </c>
      <c s="1">
        <v>75</v>
      </c>
      <c s="4"/>
    </row>
    <row>
      <c s="4" t="s">
        <v>32</v>
      </c>
      <c s="1">
        <v>0.25701012420444702</v>
      </c>
      <c s="4" t="s">
        <v>33</v>
      </c>
      <c s="1">
        <v>-0.71190855452570301</v>
      </c>
    </row>
    <row>
      <c s="4" t="s">
        <v>34</v>
      </c>
      <c s="1">
        <v>56.6666666666667</v>
      </c>
      <c s="4" t="s">
        <v>35</v>
      </c>
      <c s="1">
        <v>0.247326126331121</v>
      </c>
    </row>
    <row>
      <c s="4" t="s">
        <v>36</v>
      </c>
      <c s="1">
        <v>88.3333333333333</v>
      </c>
      <c s="4" t="s">
        <v>37</v>
      </c>
      <c s="1">
        <v>2.6364561017868402</v>
      </c>
    </row>
    <row>
      <c s="4" t="s">
        <v>38</v>
      </c>
      <c s="1">
        <v>31.6666666666667</v>
      </c>
      <c s="4" t="s">
        <v>39</v>
      </c>
      <c s="1">
        <v>0.47912911730044</v>
      </c>
    </row>
    <row>
      <c s="4" t="s">
        <v>40</v>
      </c>
      <c s="1">
        <v>19</v>
      </c>
      <c s="4" t="s">
        <v>41</v>
      </c>
      <c s="1">
        <v>-0.72363273898915303</v>
      </c>
    </row>
    <row>
      <c s="4" t="s">
        <v>42</v>
      </c>
      <c s="1">
        <v>0.206881720430108</v>
      </c>
      <c s="4" t="s">
        <v>43</v>
      </c>
      <c s="1">
        <v>-0.31647468031103898</v>
      </c>
    </row>
  </sheetData>
  <mergeCells count="2">
    <mergeCell ref="A1:D1"/>
    <mergeCell ref="A42:D42"/>
  </mergeCells>
  <pageMargins left="0.7" right="0.7" top="0.75" bottom="0.75" header="0.3" footer="0.3"/>
  <drawing r:id="rId1"/>
</worksheet>
</file>